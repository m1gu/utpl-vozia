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sorioge\Documents\PMO\UTPL\"/>
    </mc:Choice>
  </mc:AlternateContent>
  <bookViews>
    <workbookView xWindow="0" yWindow="0" windowWidth="23040" windowHeight="10416" tabRatio="749"/>
  </bookViews>
  <sheets>
    <sheet name="Catálogo de objeciones" sheetId="7" r:id="rId1"/>
    <sheet name="SCORING BORRADOR" sheetId="2" state="hidden" r:id="rId2"/>
  </sheets>
  <definedNames>
    <definedName name="_xlnm._FilterDatabase" localSheetId="0" hidden="1">'Catálogo de objeciones'!$A$1:$D$40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2" l="1"/>
  <c r="D55" i="2"/>
  <c r="D36" i="2"/>
  <c r="C67" i="2"/>
  <c r="D67" i="2"/>
</calcChain>
</file>

<file path=xl/sharedStrings.xml><?xml version="1.0" encoding="utf-8"?>
<sst xmlns="http://schemas.openxmlformats.org/spreadsheetml/2006/main" count="231" uniqueCount="210">
  <si>
    <t>Correo electrónico</t>
  </si>
  <si>
    <t>Prensa Digital</t>
  </si>
  <si>
    <t>Prensa</t>
  </si>
  <si>
    <t>Páginas Carreras/Programas</t>
  </si>
  <si>
    <t>Pauta X</t>
  </si>
  <si>
    <t>Referidos</t>
  </si>
  <si>
    <t>Simulador de matrícula</t>
  </si>
  <si>
    <t>Sitio de matrícula</t>
  </si>
  <si>
    <t>Blog</t>
  </si>
  <si>
    <t>Home</t>
  </si>
  <si>
    <t>Medios Aliados</t>
  </si>
  <si>
    <t>Facebook</t>
  </si>
  <si>
    <t>Instagram</t>
  </si>
  <si>
    <t>TikTok</t>
  </si>
  <si>
    <t>Centros Universitarios</t>
  </si>
  <si>
    <t>Va directo a coordinadores comerciales</t>
  </si>
  <si>
    <t>Stand Centros Comerciales</t>
  </si>
  <si>
    <t>Visitas a Colegios</t>
  </si>
  <si>
    <t>Visitas a Empresas públicas y privadas</t>
  </si>
  <si>
    <t>Volanteo</t>
  </si>
  <si>
    <t>Buzón</t>
  </si>
  <si>
    <t>Redes Sociales</t>
  </si>
  <si>
    <t>Casa Abierta</t>
  </si>
  <si>
    <t>Webinars</t>
  </si>
  <si>
    <t>Conferencias</t>
  </si>
  <si>
    <t>ACEPTACION</t>
  </si>
  <si>
    <t>ACE - Con Pago</t>
  </si>
  <si>
    <t xml:space="preserve">Estudiante nuevo que ha realizado el pago de su ciclo academico, matriculado. </t>
  </si>
  <si>
    <t>ACE - Sin Pago Con Plan De Pagos</t>
  </si>
  <si>
    <t>Prospecto con una solicitud de matrícula creada que realizará el pago con un plan de pagos.</t>
  </si>
  <si>
    <t>ACE - Sin Pago Con Deuda Al Banco</t>
  </si>
  <si>
    <t>Prospecto con una solicitud de matrícula creada que indica que realizará el pago al contacto/efectivo</t>
  </si>
  <si>
    <t>ACE - Sin Pago Con Tarjeta De Credito</t>
  </si>
  <si>
    <t xml:space="preserve">Prospecto con una solicitud de matrícula creada que indica que realizará el pago con tarjeta de credito. </t>
  </si>
  <si>
    <t>ACE - Sin Pago Sin Compromiso De Pago</t>
  </si>
  <si>
    <t xml:space="preserve">Prospecto con una solicitud de matrícula creada que aún no conoce de que forma realizará el pago. </t>
  </si>
  <si>
    <t>NO CONTACTO</t>
  </si>
  <si>
    <t>VOLVER A LLAMAR</t>
  </si>
  <si>
    <t>Se utiliza cuando la persona se encuentra ocupada y solicita ser llamado otro día o en otro horario, en estos casos no se lográ brindar información sobre la carrera de su interes</t>
  </si>
  <si>
    <t>NO INTERESADO</t>
  </si>
  <si>
    <t xml:space="preserve">Número no pertenece al titular y a nadie que pueda conocerlo. </t>
  </si>
  <si>
    <t xml:space="preserve">Número pertenece a fax de empresas. </t>
  </si>
  <si>
    <t xml:space="preserve">El prospecto si se encuentra interesado en realizar el proceso de matrícula, sin embargo, desea realizarlo por su cuenta o en un centro universitario. </t>
  </si>
  <si>
    <t xml:space="preserve">Se utiliza cuando el titular vive fuera del pais o se encontrara afuera por un largo periodo de tiempo. </t>
  </si>
  <si>
    <t xml:space="preserve">Se utiliza cuando atiende la llamada una tercera persona e indica que si conoce al titular, sin embargo, no proporcionará números de contactos u horario para poder comunicarnos. Pide no volver a llamar a su número. </t>
  </si>
  <si>
    <t xml:space="preserve">No posee la capacidad económica para pagar su matrícula a pesar de los descuentos y formas de pago que ofrece UTPL. </t>
  </si>
  <si>
    <t xml:space="preserve">Posee una problema de salud grave que le impide estudiar en el ciclo academico vigente. </t>
  </si>
  <si>
    <t xml:space="preserve">Es utilizado cuando la información es solicitada por algún familiar y no por la persona que desea estudiar. </t>
  </si>
  <si>
    <t>Aún no ha terminado el colegio y no lo terminará sino hasta en fechas posteriores al fin de matrículas en UTPL</t>
  </si>
  <si>
    <t xml:space="preserve">La persona que solicito la información ha fallecido. </t>
  </si>
  <si>
    <t xml:space="preserve">Se utiliza cuando el estudiante es continuo. </t>
  </si>
  <si>
    <t xml:space="preserve">Trabaja en UTPL y la llamada era una prueba. </t>
  </si>
  <si>
    <t xml:space="preserve">Es utilizado cuando el prospecto tiene un interes por alguna posgrados y no por una carrera de grado. </t>
  </si>
  <si>
    <t xml:space="preserve">Es utilizado cuando el prospecto menciona que nunca ha solicitado información sobre UTPL. </t>
  </si>
  <si>
    <t xml:space="preserve">Ha recibido una mala atención o menciona que no lo ayudaron con el requerimiento que solicitó. En estos casos el prospecto ya no desea recibir llamadas de UTPL. </t>
  </si>
  <si>
    <t xml:space="preserve">A pesar de mencionarle sobre la modalidad de estudio en linea, menciona que no tendrá tiempo para dedicarle al estudio. </t>
  </si>
  <si>
    <t>No le interesa la modalidad de estudio en linea</t>
  </si>
  <si>
    <t xml:space="preserve">Se utiliza cuando la persona no menciona los motivos de porque no desea estudiar. </t>
  </si>
  <si>
    <t xml:space="preserve">Se utiliza cuando el prospecto ya se encuentra estudiando en otra universidad. </t>
  </si>
  <si>
    <t xml:space="preserve">Se utiliza cuando la carrera que solicita el prospecto no se oferta en UTPL. </t>
  </si>
  <si>
    <t xml:space="preserve">Es utilizado cuando el prospecto tiene un interes por alguna oferta de cursos y no por una carrera de grado. </t>
  </si>
  <si>
    <t xml:space="preserve">Número llamado direcciona directamente al buzón de voz. </t>
  </si>
  <si>
    <t>INDECISO</t>
  </si>
  <si>
    <t>Se utiliza cuando el prospecto se encuentra realizando el proceso de postulación a becas, aún no carga documentos, debe corregir algún documento etc</t>
  </si>
  <si>
    <t xml:space="preserve">Ya realizó el proceso de solicitud de beca y se encuentra a la espera de una respuesta. </t>
  </si>
  <si>
    <t xml:space="preserve">Desea consultar la información brindada con un familiar o amigo para tomar una decisión en conjunto. </t>
  </si>
  <si>
    <t xml:space="preserve">Se utiliza cuando el prospecto se encuentra interesado en realizar el formulario de matrícula, sin embargo, por diferentes factores no puede confirmar el código de validación para continuar con el proceso. </t>
  </si>
  <si>
    <t xml:space="preserve">Desea analizar la información sobre valores, descuentos y formas de pago para tomar una decisión. </t>
  </si>
  <si>
    <t xml:space="preserve">Desea analizar la información brindada para tomar una decisión. </t>
  </si>
  <si>
    <t>NUEVO</t>
  </si>
  <si>
    <t>Todos los interesados que no han sido gestionados, independientemente del responsable inicial.</t>
  </si>
  <si>
    <t>CATEGORIA</t>
  </si>
  <si>
    <t>VARIABLES</t>
  </si>
  <si>
    <t>VALOR INDIVIDUAL</t>
  </si>
  <si>
    <t>PESO</t>
  </si>
  <si>
    <t>CRITERIO</t>
  </si>
  <si>
    <t>ESTADO</t>
  </si>
  <si>
    <t>Información personal y demográfica</t>
  </si>
  <si>
    <t>Identificación</t>
  </si>
  <si>
    <t>Si tiene todos los campos</t>
  </si>
  <si>
    <t>Lead (se crea la oportunidad)</t>
  </si>
  <si>
    <t>Nombres</t>
  </si>
  <si>
    <t>Si falta uno de los campos es Suscriptor -5</t>
  </si>
  <si>
    <t>Apellidos</t>
  </si>
  <si>
    <t>Celular</t>
  </si>
  <si>
    <t>Lugar en el que quiere ser atendido</t>
  </si>
  <si>
    <t>Programa de estudios de interés</t>
  </si>
  <si>
    <t>Origen Prospecto</t>
  </si>
  <si>
    <t>Política de privacidad</t>
  </si>
  <si>
    <t>Interacciones</t>
  </si>
  <si>
    <t>Apertura</t>
  </si>
  <si>
    <t>Con cualquiera de las opciones es Oportunidad, reciben mails de marketing</t>
  </si>
  <si>
    <t>Clicks</t>
  </si>
  <si>
    <t>Visita página web</t>
  </si>
  <si>
    <t>Origen Pagado</t>
  </si>
  <si>
    <t>Con cualquiera de las opciones es Oportunidad, reciben mails de marketing, mínimo 3 (bienvenida, información general - fechas, carrera)</t>
  </si>
  <si>
    <t>Oportunidad</t>
  </si>
  <si>
    <t>Meta</t>
  </si>
  <si>
    <t>En caso de rebote, no apertura, y marcación como spam se enviará a canales</t>
  </si>
  <si>
    <t>SEM</t>
  </si>
  <si>
    <t>Creación de listas para disparar acciones en este caso para aplicar re-marketing dirigido a Sitio de Matrícula</t>
  </si>
  <si>
    <t>Programática</t>
  </si>
  <si>
    <t>Linkedin</t>
  </si>
  <si>
    <t>Display</t>
  </si>
  <si>
    <t>N..</t>
  </si>
  <si>
    <t>Se asignará por Zonas (8)</t>
  </si>
  <si>
    <t>Stand Activaciones</t>
  </si>
  <si>
    <t>Eventos</t>
  </si>
  <si>
    <t>Experiencia del usuario</t>
  </si>
  <si>
    <t>Llamadas entrantes</t>
  </si>
  <si>
    <t>Whatsapp Institucional Entrante</t>
  </si>
  <si>
    <t>Zoom de atención</t>
  </si>
  <si>
    <t>Atención física Sede</t>
  </si>
  <si>
    <t>Stand Activaciones - Convenios</t>
  </si>
  <si>
    <t>Eventos - Convenios</t>
  </si>
  <si>
    <t>Charlas - Convenios</t>
  </si>
  <si>
    <t>Cliente</t>
  </si>
  <si>
    <t>Alumni</t>
  </si>
  <si>
    <t>Alumno Actual</t>
  </si>
  <si>
    <t>Reingreso</t>
  </si>
  <si>
    <t>Caducados</t>
  </si>
  <si>
    <t>Saldo a favor</t>
  </si>
  <si>
    <t>Estado Campaña anterior</t>
  </si>
  <si>
    <t>Sin Pago</t>
  </si>
  <si>
    <t>Sin PDB</t>
  </si>
  <si>
    <t>Retirados</t>
  </si>
  <si>
    <t>Objeciones: aceptación</t>
  </si>
  <si>
    <t>VLL - Llamar Otro Horario</t>
  </si>
  <si>
    <t>NIN - Equivocado</t>
  </si>
  <si>
    <t>NIN - IVR De Empresa</t>
  </si>
  <si>
    <t>NIN - Continuara por si solo</t>
  </si>
  <si>
    <t>NIN - Titular Esta Fuera Del Pais</t>
  </si>
  <si>
    <t>NIN - Tercero o Familiar Pide No Llamar</t>
  </si>
  <si>
    <t>NIN - Neg-Costos-No Tiene Dinero</t>
  </si>
  <si>
    <t>NIN - Neg-Pers-Problemas De Salud</t>
  </si>
  <si>
    <t>NIN - Informacion Para Un Familiar</t>
  </si>
  <si>
    <t>NIN - Neg-Pers-Aun No Es Bachiller</t>
  </si>
  <si>
    <t>NIN - Negativa-Pers-Titular Fallecido</t>
  </si>
  <si>
    <t>NIN - Estudiante Utpl 2Do. En Adelante</t>
  </si>
  <si>
    <t>NIN - Negativa-Pers-Trabaja En La Utpl</t>
  </si>
  <si>
    <t>NIN - Neg-Academicos-Interesado En Maestria</t>
  </si>
  <si>
    <t>NIN - Indica Que No Ha Solicitado Informacion</t>
  </si>
  <si>
    <t>NIN - Neg-Academicos-Mala Experiencia Con Utpl</t>
  </si>
  <si>
    <t>NIN - Neg-Tiempo-No Tiene Tiempo Para Estudiar</t>
  </si>
  <si>
    <t>NIN - No Esta Interesado En Modalidad En Linea</t>
  </si>
  <si>
    <t>NIN - No Desea Continuar Con Proceso Matricula</t>
  </si>
  <si>
    <t>NIN - Neg-Academicos-Estudia Ahora En Otra Univ</t>
  </si>
  <si>
    <t>NIN - Neg-Academicos-Carreras Ofertads No Desea</t>
  </si>
  <si>
    <t>IND - Acept-Costos-Gestionando Beca</t>
  </si>
  <si>
    <t>IND - Acept-Costos-Esperando Beca</t>
  </si>
  <si>
    <t>IND - Acept-Costos-Consultara Con Familia</t>
  </si>
  <si>
    <t>IND - Pendiente Por Confirmar Codigo Validacion</t>
  </si>
  <si>
    <t>IND - Acept-Costos-Necesita Analizar Prcs</t>
  </si>
  <si>
    <t>IND - Acept-Pers-Quiere Pensar Y Leer Info</t>
  </si>
  <si>
    <t>Estado de embudo de ventas</t>
  </si>
  <si>
    <t>Subestado de embudo de ventas</t>
  </si>
  <si>
    <t>Descripción</t>
  </si>
  <si>
    <t>NUE - Nuevo</t>
  </si>
  <si>
    <t>569d4307-4da7-45e0-9c5a-7530a99aca5d</t>
  </si>
  <si>
    <t>NC - No Contacto</t>
  </si>
  <si>
    <t>NIN - Neg-Académicos-Interesado Cursos Form. Perm</t>
  </si>
  <si>
    <t>dcffacae-7c6e-4e2c-b292-b45ddfd4a4b8</t>
  </si>
  <si>
    <t>76176395-5b17-4c4c-89bb-bd8aec39cfb2</t>
  </si>
  <si>
    <t>bedef4a4-c5fe-4f44-ac90-4d7214926072</t>
  </si>
  <si>
    <t>42537ccf-9d96-4c64-bd7e-d8b1a4f00eff</t>
  </si>
  <si>
    <t>147aacee-e144-4e0e-8ad5-f7cfc12ab53a</t>
  </si>
  <si>
    <t>b220dd5b-822c-46a3-b029-de3d148ce263</t>
  </si>
  <si>
    <t>ec04d345-b217-43b8-886c-483caaef1207</t>
  </si>
  <si>
    <t>ff2dbd7a-febb-418e-b5f7-a79b21630d4a</t>
  </si>
  <si>
    <t>6ec7dafd-36c9-4ac7-8fa4-aaf1d5e655ff</t>
  </si>
  <si>
    <t>9bb49857-d693-455f-a719-7da52a3c267f</t>
  </si>
  <si>
    <t>eb503640-7ac4-4296-be4d-19925e5b5c9f</t>
  </si>
  <si>
    <t>db9d6ca8-d46a-429b-a54c-ea911f60dc1d</t>
  </si>
  <si>
    <t>b4bac679-2b71-4b0e-bdc3-5ffaac245d4a</t>
  </si>
  <si>
    <t>7157a907-42d1-4ba1-a302-bc8c6fe7757d</t>
  </si>
  <si>
    <t>946823bc-a033-47ab-9461-56bbe36ba649</t>
  </si>
  <si>
    <t>fca8fec9-9636-46e8-b08c-51f95a1861f9</t>
  </si>
  <si>
    <t>7b45b4fe-69f6-4b74-b14a-39b16f7df70f</t>
  </si>
  <si>
    <t>ed5610f2-00e8-4284-b62e-0becd4b25e9a</t>
  </si>
  <si>
    <t>2efa7cc1-9785-401b-b13e-b133c42ae62e</t>
  </si>
  <si>
    <t>491f0fd2-b01e-43fa-b0e7-8e4a59e1abb9</t>
  </si>
  <si>
    <t>2ba903ac-d1f4-43f3-89c9-1adc67b373c0</t>
  </si>
  <si>
    <t>5fadfbe1-909d-44e1-84d7-63a8a184cc7f</t>
  </si>
  <si>
    <t>6ab24c69-4728-48d2-8950-36d6fd47627d</t>
  </si>
  <si>
    <t>f6cf9978-e0e0-4cd9-9605-3e4baca78289</t>
  </si>
  <si>
    <t>7b7283a7-dd21-4601-962d-7f867f0dcb3a</t>
  </si>
  <si>
    <t>f6828cdb-b9c4-4e4b-a3f0-cc8e372c232f</t>
  </si>
  <si>
    <t>ee5da155-3a0f-41fd-82e5-72a99d3f19d9</t>
  </si>
  <si>
    <t>bec5c824-948a-41b1-a424-37e3b141a5c0</t>
  </si>
  <si>
    <t>42727480-5b99-4564-9bd9-7e36d35253e5</t>
  </si>
  <si>
    <t>77d6699b-bb46-4208-bb18-dfc2b328dad6</t>
  </si>
  <si>
    <t>8c28a594-b636-4b38-9096-31310aca4ef0</t>
  </si>
  <si>
    <t>c5516d85-76cd-4d2f-9a63-c50733b4b40d</t>
  </si>
  <si>
    <t>81be2361-ec57-4486-8af0-ad5dfabc7bf5</t>
  </si>
  <si>
    <t>68c171c4-9f58-4b4f-a052-39fa80d530c0</t>
  </si>
  <si>
    <t>appointmentscheduled</t>
  </si>
  <si>
    <t>Id interno (Producción)
Para propiedad hs_call_disposition</t>
  </si>
  <si>
    <t>Id interno (Producción)
Para propiedad dealstage</t>
  </si>
  <si>
    <t>NIN - No Localizable</t>
  </si>
  <si>
    <t>fa9b4696-95d1-4b4a-906f-4b0b7b7f155b</t>
  </si>
  <si>
    <t>Es utilizado cuando no se puede localizar al prospecto</t>
  </si>
  <si>
    <t>NIN - Interesado Proximo periodo</t>
  </si>
  <si>
    <t>Es utilziado cuando el prospecto indica que se va a matricular el próximo periodo</t>
  </si>
  <si>
    <t>c941a32d-0909-46f4-a72b-ca94adbde489</t>
  </si>
  <si>
    <t>ACE - Confirmacion de cupo</t>
  </si>
  <si>
    <t>ACE - Con pago de prueba</t>
  </si>
  <si>
    <t>043072aa-81c7-4e16-9152-3851eb010bee</t>
  </si>
  <si>
    <t>75f094ab-1b20-450b-b04e-7e9624a6e086</t>
  </si>
  <si>
    <t>Postulante paga el valor para rendir la prueba de admisión</t>
  </si>
  <si>
    <t>Postulante confirma que acepta el cupo para proceder con su 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</si>
</sst>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b/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  <fill>
      <patternFill patternType="solid">
        <fgColor rgb="FFC0E4F5"/>
        <bgColor rgb="FFC0E4F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5D198"/>
        <bgColor indexed="64"/>
      </patternFill>
    </fill>
    <fill>
      <patternFill patternType="solid">
        <fgColor rgb="FFF6FA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3AEE2"/>
      </left>
      <right/>
      <top/>
      <bottom/>
      <diagonal/>
    </border>
    <border>
      <left/>
      <right/>
      <top/>
      <bottom style="thin">
        <color rgb="FF43AEE2"/>
      </bottom>
      <diagonal/>
    </border>
    <border>
      <left/>
      <right/>
      <top style="thin">
        <color rgb="FF43AEE2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  <border>
      <left style="thin">
        <color rgb="FF43AEE2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43AEE2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0" fontId="2" fillId="3" borderId="6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4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0" xfId="0" applyFont="1" applyFill="1" applyBorder="1" applyAlignment="1">
      <alignment wrapText="1"/>
    </xf>
    <xf numFmtId="0" fontId="5" fillId="3" borderId="11" xfId="0" applyFont="1" applyFill="1" applyBorder="1" applyAlignment="1">
      <alignment wrapText="1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/>
    </xf>
    <xf numFmtId="0" fontId="0" fillId="4" borderId="12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0" fillId="6" borderId="12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 wrapText="1"/>
    </xf>
    <xf numFmtId="0" fontId="0" fillId="10" borderId="12" xfId="0" applyFill="1" applyBorder="1" applyAlignment="1">
      <alignment horizontal="left" vertical="center"/>
    </xf>
    <xf numFmtId="0" fontId="0" fillId="10" borderId="12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11" borderId="0" xfId="0" applyFill="1" applyAlignment="1">
      <alignment horizontal="left"/>
    </xf>
    <xf numFmtId="0" fontId="0" fillId="12" borderId="12" xfId="0" applyFill="1" applyBorder="1" applyAlignment="1">
      <alignment horizontal="left" vertical="center"/>
    </xf>
    <xf numFmtId="0" fontId="0" fillId="12" borderId="12" xfId="0" applyFill="1" applyBorder="1" applyAlignment="1">
      <alignment horizontal="left" vertical="center" wrapText="1"/>
    </xf>
    <xf numFmtId="0" fontId="0" fillId="12" borderId="12" xfId="0" applyFill="1" applyBorder="1" applyAlignment="1">
      <alignment horizontal="left"/>
    </xf>
    <xf numFmtId="0" fontId="0" fillId="0" borderId="0" xfId="0" applyFill="1"/>
    <xf numFmtId="0" fontId="4" fillId="3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EDE"/>
      <color rgb="FFFFFCC7"/>
      <color rgb="FF8785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pane ySplit="1" topLeftCell="A11" activePane="bottomLeft" state="frozen"/>
      <selection pane="bottomLeft" activeCell="B1" sqref="B1:B1048576"/>
    </sheetView>
  </sheetViews>
  <sheetFormatPr baseColWidth="10" defaultColWidth="8.69921875" defaultRowHeight="13.8"/>
  <cols>
    <col min="1" max="2" width="23.3984375" style="53" customWidth="1"/>
    <col min="3" max="3" width="50" style="53" bestFit="1" customWidth="1"/>
    <col min="4" max="4" width="37.09765625" style="54" customWidth="1"/>
    <col min="5" max="5" width="39.09765625" style="55" customWidth="1"/>
  </cols>
  <sheetData>
    <row r="1" spans="1:5" s="2" customFormat="1" ht="27.6">
      <c r="A1" s="38" t="s">
        <v>154</v>
      </c>
      <c r="B1" s="38" t="s">
        <v>197</v>
      </c>
      <c r="C1" s="38" t="s">
        <v>155</v>
      </c>
      <c r="D1" s="38" t="s">
        <v>156</v>
      </c>
      <c r="E1" s="38" t="s">
        <v>196</v>
      </c>
    </row>
    <row r="2" spans="1:5" ht="27.6">
      <c r="A2" s="68" t="s">
        <v>25</v>
      </c>
      <c r="B2" s="39">
        <v>1000743980</v>
      </c>
      <c r="C2" s="39" t="s">
        <v>26</v>
      </c>
      <c r="D2" s="40" t="s">
        <v>27</v>
      </c>
      <c r="E2" s="41" t="s">
        <v>161</v>
      </c>
    </row>
    <row r="3" spans="1:5" ht="27.6">
      <c r="A3" s="69"/>
      <c r="B3" s="56">
        <v>1000743980</v>
      </c>
      <c r="C3" s="56" t="s">
        <v>204</v>
      </c>
      <c r="D3" s="57" t="s">
        <v>209</v>
      </c>
      <c r="E3" s="58" t="s">
        <v>206</v>
      </c>
    </row>
    <row r="4" spans="1:5" ht="27.6">
      <c r="A4" s="69"/>
      <c r="B4" s="56">
        <v>1000743980</v>
      </c>
      <c r="C4" s="56" t="s">
        <v>205</v>
      </c>
      <c r="D4" s="57" t="s">
        <v>208</v>
      </c>
      <c r="E4" s="58" t="s">
        <v>207</v>
      </c>
    </row>
    <row r="5" spans="1:5" ht="41.4">
      <c r="A5" s="69"/>
      <c r="B5" s="39">
        <v>1000743980</v>
      </c>
      <c r="C5" s="39" t="s">
        <v>28</v>
      </c>
      <c r="D5" s="40" t="s">
        <v>29</v>
      </c>
      <c r="E5" s="41" t="s">
        <v>162</v>
      </c>
    </row>
    <row r="6" spans="1:5" ht="41.4">
      <c r="A6" s="69"/>
      <c r="B6" s="39">
        <v>1000743980</v>
      </c>
      <c r="C6" s="39" t="s">
        <v>30</v>
      </c>
      <c r="D6" s="40" t="s">
        <v>31</v>
      </c>
      <c r="E6" s="41" t="s">
        <v>163</v>
      </c>
    </row>
    <row r="7" spans="1:5" ht="41.4">
      <c r="A7" s="69"/>
      <c r="B7" s="39">
        <v>1000743980</v>
      </c>
      <c r="C7" s="39" t="s">
        <v>32</v>
      </c>
      <c r="D7" s="40" t="s">
        <v>33</v>
      </c>
      <c r="E7" s="41" t="s">
        <v>164</v>
      </c>
    </row>
    <row r="8" spans="1:5" ht="41.4">
      <c r="A8" s="70"/>
      <c r="B8" s="39">
        <v>1000743980</v>
      </c>
      <c r="C8" s="39" t="s">
        <v>34</v>
      </c>
      <c r="D8" s="40" t="s">
        <v>35</v>
      </c>
      <c r="E8" s="41" t="s">
        <v>165</v>
      </c>
    </row>
    <row r="9" spans="1:5" ht="69">
      <c r="A9" s="77" t="s">
        <v>37</v>
      </c>
      <c r="B9" s="42">
        <v>1008735100</v>
      </c>
      <c r="C9" s="42" t="s">
        <v>127</v>
      </c>
      <c r="D9" s="43" t="s">
        <v>38</v>
      </c>
      <c r="E9" s="41" t="s">
        <v>166</v>
      </c>
    </row>
    <row r="10" spans="1:5" ht="27.6">
      <c r="A10" s="71" t="s">
        <v>39</v>
      </c>
      <c r="B10" s="44">
        <v>1020923926</v>
      </c>
      <c r="C10" s="44" t="s">
        <v>128</v>
      </c>
      <c r="D10" s="45" t="s">
        <v>40</v>
      </c>
      <c r="E10" s="41" t="s">
        <v>167</v>
      </c>
    </row>
    <row r="11" spans="1:5">
      <c r="A11" s="72"/>
      <c r="B11" s="44">
        <v>1020923926</v>
      </c>
      <c r="C11" s="44" t="s">
        <v>129</v>
      </c>
      <c r="D11" s="45" t="s">
        <v>41</v>
      </c>
      <c r="E11" s="41" t="s">
        <v>168</v>
      </c>
    </row>
    <row r="12" spans="1:5" ht="55.2">
      <c r="A12" s="71" t="s">
        <v>39</v>
      </c>
      <c r="B12" s="44">
        <v>1020923926</v>
      </c>
      <c r="C12" s="44" t="s">
        <v>130</v>
      </c>
      <c r="D12" s="45" t="s">
        <v>42</v>
      </c>
      <c r="E12" s="41" t="s">
        <v>169</v>
      </c>
    </row>
    <row r="13" spans="1:5" ht="41.4">
      <c r="A13" s="73"/>
      <c r="B13" s="44">
        <v>1020923926</v>
      </c>
      <c r="C13" s="44" t="s">
        <v>131</v>
      </c>
      <c r="D13" s="45" t="s">
        <v>43</v>
      </c>
      <c r="E13" s="41" t="s">
        <v>170</v>
      </c>
    </row>
    <row r="14" spans="1:5" ht="82.8">
      <c r="A14" s="73"/>
      <c r="B14" s="44">
        <v>1020923926</v>
      </c>
      <c r="C14" s="44" t="s">
        <v>132</v>
      </c>
      <c r="D14" s="45" t="s">
        <v>44</v>
      </c>
      <c r="E14" s="41" t="s">
        <v>171</v>
      </c>
    </row>
    <row r="15" spans="1:5" ht="55.2">
      <c r="A15" s="73"/>
      <c r="B15" s="44">
        <v>1020923926</v>
      </c>
      <c r="C15" s="44" t="s">
        <v>133</v>
      </c>
      <c r="D15" s="45" t="s">
        <v>45</v>
      </c>
      <c r="E15" s="41" t="s">
        <v>172</v>
      </c>
    </row>
    <row r="16" spans="1:5" ht="41.4">
      <c r="A16" s="73"/>
      <c r="B16" s="44">
        <v>1020923926</v>
      </c>
      <c r="C16" s="44" t="s">
        <v>134</v>
      </c>
      <c r="D16" s="45" t="s">
        <v>46</v>
      </c>
      <c r="E16" s="41" t="s">
        <v>173</v>
      </c>
    </row>
    <row r="17" spans="1:5" ht="41.4">
      <c r="A17" s="73"/>
      <c r="B17" s="44">
        <v>1020923926</v>
      </c>
      <c r="C17" s="44" t="s">
        <v>135</v>
      </c>
      <c r="D17" s="45" t="s">
        <v>47</v>
      </c>
      <c r="E17" s="41" t="s">
        <v>174</v>
      </c>
    </row>
    <row r="18" spans="1:5" ht="41.4">
      <c r="A18" s="73"/>
      <c r="B18" s="44">
        <v>1020923926</v>
      </c>
      <c r="C18" s="44" t="s">
        <v>136</v>
      </c>
      <c r="D18" s="45" t="s">
        <v>48</v>
      </c>
      <c r="E18" s="41" t="s">
        <v>175</v>
      </c>
    </row>
    <row r="19" spans="1:5" ht="27.6">
      <c r="A19" s="73"/>
      <c r="B19" s="44">
        <v>1020923926</v>
      </c>
      <c r="C19" s="44" t="s">
        <v>137</v>
      </c>
      <c r="D19" s="45" t="s">
        <v>49</v>
      </c>
      <c r="E19" s="41" t="s">
        <v>176</v>
      </c>
    </row>
    <row r="20" spans="1:5">
      <c r="A20" s="73"/>
      <c r="B20" s="44">
        <v>1020923926</v>
      </c>
      <c r="C20" s="44" t="s">
        <v>138</v>
      </c>
      <c r="D20" s="45" t="s">
        <v>50</v>
      </c>
      <c r="E20" s="41" t="s">
        <v>177</v>
      </c>
    </row>
    <row r="21" spans="1:5" ht="27.6">
      <c r="A21" s="73"/>
      <c r="B21" s="44">
        <v>1020923926</v>
      </c>
      <c r="C21" s="44" t="s">
        <v>139</v>
      </c>
      <c r="D21" s="45" t="s">
        <v>51</v>
      </c>
      <c r="E21" s="41" t="s">
        <v>178</v>
      </c>
    </row>
    <row r="22" spans="1:5" ht="41.4">
      <c r="A22" s="73"/>
      <c r="B22" s="44">
        <v>1020923926</v>
      </c>
      <c r="C22" s="44" t="s">
        <v>140</v>
      </c>
      <c r="D22" s="45" t="s">
        <v>52</v>
      </c>
      <c r="E22" s="41" t="s">
        <v>179</v>
      </c>
    </row>
    <row r="23" spans="1:5" ht="41.4">
      <c r="A23" s="73"/>
      <c r="B23" s="44">
        <v>1020923926</v>
      </c>
      <c r="C23" s="44" t="s">
        <v>141</v>
      </c>
      <c r="D23" s="45" t="s">
        <v>53</v>
      </c>
      <c r="E23" s="41" t="s">
        <v>180</v>
      </c>
    </row>
    <row r="24" spans="1:5" ht="55.2">
      <c r="A24" s="73"/>
      <c r="B24" s="44">
        <v>1020923926</v>
      </c>
      <c r="C24" s="44" t="s">
        <v>142</v>
      </c>
      <c r="D24" s="45" t="s">
        <v>54</v>
      </c>
      <c r="E24" s="41" t="s">
        <v>181</v>
      </c>
    </row>
    <row r="25" spans="1:5" ht="41.4">
      <c r="A25" s="73"/>
      <c r="B25" s="44">
        <v>1020923926</v>
      </c>
      <c r="C25" s="44" t="s">
        <v>143</v>
      </c>
      <c r="D25" s="45" t="s">
        <v>55</v>
      </c>
      <c r="E25" s="41" t="s">
        <v>182</v>
      </c>
    </row>
    <row r="26" spans="1:5" ht="27.6">
      <c r="A26" s="73"/>
      <c r="B26" s="44">
        <v>1020923926</v>
      </c>
      <c r="C26" s="44" t="s">
        <v>144</v>
      </c>
      <c r="D26" s="45" t="s">
        <v>56</v>
      </c>
      <c r="E26" s="41" t="s">
        <v>183</v>
      </c>
    </row>
    <row r="27" spans="1:5" ht="27.6">
      <c r="A27" s="73"/>
      <c r="B27" s="44">
        <v>1020923926</v>
      </c>
      <c r="C27" s="44" t="s">
        <v>145</v>
      </c>
      <c r="D27" s="45" t="s">
        <v>57</v>
      </c>
      <c r="E27" s="41" t="s">
        <v>184</v>
      </c>
    </row>
    <row r="28" spans="1:5" ht="27.6">
      <c r="A28" s="73"/>
      <c r="B28" s="44">
        <v>1020923926</v>
      </c>
      <c r="C28" s="44" t="s">
        <v>146</v>
      </c>
      <c r="D28" s="45" t="s">
        <v>58</v>
      </c>
      <c r="E28" s="41" t="s">
        <v>185</v>
      </c>
    </row>
    <row r="29" spans="1:5" ht="27.6">
      <c r="A29" s="73"/>
      <c r="B29" s="44">
        <v>1020923926</v>
      </c>
      <c r="C29" s="44" t="s">
        <v>147</v>
      </c>
      <c r="D29" s="45" t="s">
        <v>59</v>
      </c>
      <c r="E29" s="41" t="s">
        <v>186</v>
      </c>
    </row>
    <row r="30" spans="1:5" ht="41.4">
      <c r="A30" s="73"/>
      <c r="B30" s="44">
        <v>1020923926</v>
      </c>
      <c r="C30" s="44" t="s">
        <v>160</v>
      </c>
      <c r="D30" s="45" t="s">
        <v>60</v>
      </c>
      <c r="E30" s="41" t="s">
        <v>187</v>
      </c>
    </row>
    <row r="31" spans="1:5" s="59" customFormat="1" ht="27.6">
      <c r="A31" s="73"/>
      <c r="B31" s="56">
        <v>1020923926</v>
      </c>
      <c r="C31" s="56" t="s">
        <v>201</v>
      </c>
      <c r="D31" s="57" t="s">
        <v>202</v>
      </c>
      <c r="E31" s="58" t="s">
        <v>203</v>
      </c>
    </row>
    <row r="32" spans="1:5" s="59" customFormat="1" ht="27.6">
      <c r="A32" s="72"/>
      <c r="B32" s="56">
        <v>1020923926</v>
      </c>
      <c r="C32" s="56" t="s">
        <v>198</v>
      </c>
      <c r="D32" s="57" t="s">
        <v>200</v>
      </c>
      <c r="E32" s="58" t="s">
        <v>199</v>
      </c>
    </row>
    <row r="33" spans="1:5" ht="27.6">
      <c r="A33" s="46" t="s">
        <v>36</v>
      </c>
      <c r="B33" s="46">
        <v>1008735099</v>
      </c>
      <c r="C33" s="46" t="s">
        <v>159</v>
      </c>
      <c r="D33" s="47" t="s">
        <v>61</v>
      </c>
      <c r="E33" s="48" t="s">
        <v>158</v>
      </c>
    </row>
    <row r="34" spans="1:5" ht="55.2">
      <c r="A34" s="74" t="s">
        <v>62</v>
      </c>
      <c r="B34" s="49">
        <v>1000743978</v>
      </c>
      <c r="C34" s="49" t="s">
        <v>148</v>
      </c>
      <c r="D34" s="50" t="s">
        <v>63</v>
      </c>
      <c r="E34" s="41" t="s">
        <v>188</v>
      </c>
    </row>
    <row r="35" spans="1:5" ht="27.6">
      <c r="A35" s="75"/>
      <c r="B35" s="49">
        <v>1000743978</v>
      </c>
      <c r="C35" s="49" t="s">
        <v>149</v>
      </c>
      <c r="D35" s="50" t="s">
        <v>64</v>
      </c>
      <c r="E35" s="41" t="s">
        <v>189</v>
      </c>
    </row>
    <row r="36" spans="1:5" ht="41.4">
      <c r="A36" s="75"/>
      <c r="B36" s="49">
        <v>1000743978</v>
      </c>
      <c r="C36" s="49" t="s">
        <v>150</v>
      </c>
      <c r="D36" s="50" t="s">
        <v>65</v>
      </c>
      <c r="E36" s="41" t="s">
        <v>190</v>
      </c>
    </row>
    <row r="37" spans="1:5" ht="69">
      <c r="A37" s="75"/>
      <c r="B37" s="49">
        <v>1000743978</v>
      </c>
      <c r="C37" s="49" t="s">
        <v>151</v>
      </c>
      <c r="D37" s="50" t="s">
        <v>66</v>
      </c>
      <c r="E37" s="41" t="s">
        <v>191</v>
      </c>
    </row>
    <row r="38" spans="1:5" ht="41.4">
      <c r="A38" s="75"/>
      <c r="B38" s="49">
        <v>1000743978</v>
      </c>
      <c r="C38" s="49" t="s">
        <v>152</v>
      </c>
      <c r="D38" s="50" t="s">
        <v>67</v>
      </c>
      <c r="E38" s="41" t="s">
        <v>192</v>
      </c>
    </row>
    <row r="39" spans="1:5" ht="27.6">
      <c r="A39" s="76"/>
      <c r="B39" s="49">
        <v>1000743978</v>
      </c>
      <c r="C39" s="49" t="s">
        <v>153</v>
      </c>
      <c r="D39" s="50" t="s">
        <v>68</v>
      </c>
      <c r="E39" s="41" t="s">
        <v>193</v>
      </c>
    </row>
    <row r="40" spans="1:5" ht="41.4">
      <c r="A40" s="51" t="s">
        <v>69</v>
      </c>
      <c r="B40" s="51" t="s">
        <v>195</v>
      </c>
      <c r="C40" s="51" t="s">
        <v>157</v>
      </c>
      <c r="D40" s="52" t="s">
        <v>70</v>
      </c>
      <c r="E40" s="41" t="s">
        <v>194</v>
      </c>
    </row>
  </sheetData>
  <mergeCells count="4">
    <mergeCell ref="A2:A8"/>
    <mergeCell ref="A10:A11"/>
    <mergeCell ref="A12:A32"/>
    <mergeCell ref="A34:A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A2" sqref="A2"/>
    </sheetView>
  </sheetViews>
  <sheetFormatPr baseColWidth="10" defaultColWidth="11.3984375" defaultRowHeight="13.8"/>
  <cols>
    <col min="1" max="1" width="26.3984375" style="2" customWidth="1"/>
    <col min="2" max="2" width="20" style="2" customWidth="1"/>
    <col min="3" max="3" width="25.69921875" style="2" customWidth="1"/>
    <col min="4" max="4" width="14.59765625" style="24" customWidth="1"/>
    <col min="5" max="5" width="28.09765625" style="2" customWidth="1"/>
    <col min="6" max="6" width="21.69921875" style="2" customWidth="1"/>
  </cols>
  <sheetData>
    <row r="1" spans="1:6" ht="15.6">
      <c r="A1" s="61"/>
      <c r="B1" s="62"/>
      <c r="C1" s="62"/>
      <c r="D1" s="62"/>
      <c r="E1" s="62"/>
      <c r="F1" s="63"/>
    </row>
    <row r="2" spans="1:6" ht="15.6">
      <c r="A2" s="7" t="s">
        <v>71</v>
      </c>
      <c r="B2" s="7" t="s">
        <v>72</v>
      </c>
      <c r="C2" s="7" t="s">
        <v>73</v>
      </c>
      <c r="D2" s="8" t="s">
        <v>74</v>
      </c>
      <c r="E2" s="8" t="s">
        <v>75</v>
      </c>
      <c r="F2" s="8" t="s">
        <v>76</v>
      </c>
    </row>
    <row r="3" spans="1:6" ht="31.5" customHeight="1">
      <c r="A3" s="4" t="s">
        <v>77</v>
      </c>
      <c r="B3" s="5" t="s">
        <v>78</v>
      </c>
      <c r="C3" s="5">
        <v>0.56000000000000005</v>
      </c>
      <c r="D3" s="21">
        <v>5</v>
      </c>
      <c r="E3" s="1" t="s">
        <v>79</v>
      </c>
      <c r="F3" s="1" t="s">
        <v>80</v>
      </c>
    </row>
    <row r="4" spans="1:6" ht="28.2">
      <c r="A4" s="9"/>
      <c r="B4" s="6" t="s">
        <v>81</v>
      </c>
      <c r="C4" s="6">
        <v>0.56000000000000005</v>
      </c>
      <c r="D4" s="22"/>
      <c r="E4" s="3" t="s">
        <v>82</v>
      </c>
      <c r="F4" s="3"/>
    </row>
    <row r="5" spans="1:6" ht="15.6">
      <c r="A5" s="4"/>
      <c r="B5" s="5" t="s">
        <v>83</v>
      </c>
      <c r="C5" s="5">
        <v>0.56000000000000005</v>
      </c>
      <c r="D5" s="21"/>
      <c r="E5" s="1"/>
      <c r="F5" s="1"/>
    </row>
    <row r="6" spans="1:6" ht="15.6">
      <c r="A6" s="9"/>
      <c r="B6" s="6" t="s">
        <v>0</v>
      </c>
      <c r="C6" s="6">
        <v>0.56000000000000005</v>
      </c>
      <c r="D6" s="22"/>
      <c r="E6" s="3"/>
      <c r="F6" s="3"/>
    </row>
    <row r="7" spans="1:6" ht="15.6">
      <c r="A7" s="4"/>
      <c r="B7" s="5" t="s">
        <v>84</v>
      </c>
      <c r="C7" s="5">
        <v>0.56000000000000005</v>
      </c>
      <c r="D7" s="21"/>
      <c r="E7" s="1"/>
      <c r="F7" s="1"/>
    </row>
    <row r="8" spans="1:6" ht="30.6">
      <c r="A8" s="9"/>
      <c r="B8" s="6" t="s">
        <v>85</v>
      </c>
      <c r="C8" s="6">
        <v>0.56000000000000005</v>
      </c>
      <c r="D8" s="22"/>
      <c r="E8" s="3"/>
      <c r="F8" s="3"/>
    </row>
    <row r="9" spans="1:6" ht="30.6">
      <c r="A9" s="4"/>
      <c r="B9" s="5" t="s">
        <v>86</v>
      </c>
      <c r="C9" s="5">
        <v>0.56000000000000005</v>
      </c>
      <c r="D9" s="21"/>
      <c r="E9" s="1"/>
      <c r="F9" s="1"/>
    </row>
    <row r="10" spans="1:6" ht="15.6">
      <c r="A10" s="9"/>
      <c r="B10" s="6" t="s">
        <v>87</v>
      </c>
      <c r="C10" s="6">
        <v>0.56000000000000005</v>
      </c>
      <c r="D10" s="22"/>
      <c r="E10" s="3"/>
      <c r="F10" s="3"/>
    </row>
    <row r="11" spans="1:6" ht="15.6">
      <c r="A11" s="25"/>
      <c r="B11" s="26" t="s">
        <v>88</v>
      </c>
      <c r="C11" s="26">
        <v>0.56000000000000005</v>
      </c>
      <c r="D11" s="35"/>
      <c r="E11" s="28"/>
      <c r="F11" s="28"/>
    </row>
    <row r="12" spans="1:6" ht="42">
      <c r="A12" s="9" t="s">
        <v>89</v>
      </c>
      <c r="B12" s="6" t="s">
        <v>90</v>
      </c>
      <c r="C12" s="6">
        <v>0.5</v>
      </c>
      <c r="D12" s="22">
        <v>2</v>
      </c>
      <c r="E12" s="3" t="s">
        <v>91</v>
      </c>
      <c r="F12" s="3"/>
    </row>
    <row r="13" spans="1:6" ht="15.6">
      <c r="A13" s="4"/>
      <c r="B13" s="5" t="s">
        <v>92</v>
      </c>
      <c r="C13" s="5">
        <v>0.5</v>
      </c>
      <c r="D13" s="21"/>
      <c r="E13" s="1"/>
      <c r="F13" s="1"/>
    </row>
    <row r="14" spans="1:6" ht="15.6">
      <c r="A14" s="9"/>
      <c r="B14" s="6" t="s">
        <v>93</v>
      </c>
      <c r="C14" s="6">
        <v>0.5</v>
      </c>
      <c r="D14" s="22"/>
      <c r="E14" s="3"/>
      <c r="F14" s="3"/>
    </row>
    <row r="15" spans="1:6" ht="15.6">
      <c r="A15" s="25"/>
      <c r="B15" s="26" t="s">
        <v>21</v>
      </c>
      <c r="C15" s="26">
        <v>0.5</v>
      </c>
      <c r="D15" s="35"/>
      <c r="E15" s="28"/>
      <c r="F15" s="28"/>
    </row>
    <row r="16" spans="1:6" ht="69.599999999999994">
      <c r="A16" s="9" t="s">
        <v>94</v>
      </c>
      <c r="B16" s="6" t="s">
        <v>4</v>
      </c>
      <c r="C16" s="6">
        <v>0.1</v>
      </c>
      <c r="D16" s="22">
        <v>2</v>
      </c>
      <c r="E16" s="3" t="s">
        <v>95</v>
      </c>
      <c r="F16" s="10" t="s">
        <v>96</v>
      </c>
    </row>
    <row r="17" spans="1:6" ht="42">
      <c r="A17" s="4"/>
      <c r="B17" s="5" t="s">
        <v>97</v>
      </c>
      <c r="C17" s="5">
        <v>0.1</v>
      </c>
      <c r="D17" s="21"/>
      <c r="E17" s="1" t="s">
        <v>98</v>
      </c>
      <c r="F17" s="11"/>
    </row>
    <row r="18" spans="1:6" ht="55.8">
      <c r="A18" s="9"/>
      <c r="B18" s="6" t="s">
        <v>99</v>
      </c>
      <c r="C18" s="6">
        <v>0.1</v>
      </c>
      <c r="D18" s="22"/>
      <c r="E18" s="3" t="s">
        <v>100</v>
      </c>
      <c r="F18" s="3"/>
    </row>
    <row r="19" spans="1:6" ht="15.6">
      <c r="A19" s="4"/>
      <c r="B19" s="5" t="s">
        <v>101</v>
      </c>
      <c r="C19" s="5">
        <v>0.1</v>
      </c>
      <c r="D19" s="21"/>
      <c r="E19" s="1"/>
      <c r="F19" s="1"/>
    </row>
    <row r="20" spans="1:6" ht="15.6">
      <c r="A20" s="9"/>
      <c r="B20" s="6" t="s">
        <v>13</v>
      </c>
      <c r="C20" s="6">
        <v>0.1</v>
      </c>
      <c r="D20" s="22"/>
      <c r="E20" s="3"/>
      <c r="F20" s="3"/>
    </row>
    <row r="21" spans="1:6" ht="15.6">
      <c r="A21" s="4"/>
      <c r="B21" s="5" t="s">
        <v>102</v>
      </c>
      <c r="C21" s="5">
        <v>0.1</v>
      </c>
      <c r="D21" s="21"/>
      <c r="E21" s="1"/>
      <c r="F21" s="1"/>
    </row>
    <row r="22" spans="1:6" ht="15.6">
      <c r="A22" s="9"/>
      <c r="B22" s="6" t="s">
        <v>103</v>
      </c>
      <c r="C22" s="6">
        <v>0.1</v>
      </c>
      <c r="D22" s="22"/>
      <c r="E22" s="3"/>
      <c r="F22" s="3"/>
    </row>
    <row r="23" spans="1:6" ht="15.6">
      <c r="A23" s="4"/>
      <c r="B23" s="5" t="s">
        <v>1</v>
      </c>
      <c r="C23" s="5">
        <v>0.1</v>
      </c>
      <c r="D23" s="21"/>
      <c r="E23" s="1"/>
      <c r="F23" s="1"/>
    </row>
    <row r="24" spans="1:6" ht="15.6">
      <c r="A24" s="9"/>
      <c r="B24" s="6" t="s">
        <v>2</v>
      </c>
      <c r="C24" s="6">
        <v>0.1</v>
      </c>
      <c r="D24" s="22"/>
      <c r="E24" s="3"/>
      <c r="F24" s="3"/>
    </row>
    <row r="25" spans="1:6" ht="15.6">
      <c r="A25" s="4"/>
      <c r="B25" s="5" t="s">
        <v>22</v>
      </c>
      <c r="C25" s="5">
        <v>0.1</v>
      </c>
      <c r="D25" s="21"/>
      <c r="E25" s="1"/>
      <c r="F25" s="1"/>
    </row>
    <row r="26" spans="1:6" ht="15.6">
      <c r="A26" s="9"/>
      <c r="B26" s="6" t="s">
        <v>23</v>
      </c>
      <c r="C26" s="6">
        <v>0.1</v>
      </c>
      <c r="D26" s="22"/>
      <c r="E26" s="3"/>
      <c r="F26" s="3"/>
    </row>
    <row r="27" spans="1:6" ht="15.6">
      <c r="A27" s="4"/>
      <c r="B27" s="5" t="s">
        <v>24</v>
      </c>
      <c r="C27" s="5">
        <v>0.1</v>
      </c>
      <c r="D27" s="21"/>
      <c r="E27" s="1"/>
      <c r="F27" s="1"/>
    </row>
    <row r="28" spans="1:6" ht="15.6">
      <c r="A28" s="9"/>
      <c r="B28" s="6" t="s">
        <v>9</v>
      </c>
      <c r="C28" s="6">
        <v>0.1</v>
      </c>
      <c r="D28" s="22"/>
      <c r="E28" s="3"/>
      <c r="F28" s="3"/>
    </row>
    <row r="29" spans="1:6" ht="30.6">
      <c r="A29" s="4"/>
      <c r="B29" s="5" t="s">
        <v>3</v>
      </c>
      <c r="C29" s="5">
        <v>0.1</v>
      </c>
      <c r="D29" s="21"/>
      <c r="E29" s="1"/>
      <c r="F29" s="1"/>
    </row>
    <row r="30" spans="1:6" ht="15.6">
      <c r="A30" s="9"/>
      <c r="B30" s="6" t="s">
        <v>5</v>
      </c>
      <c r="C30" s="6">
        <v>0.1</v>
      </c>
      <c r="D30" s="22"/>
      <c r="E30" s="3"/>
      <c r="F30" s="3"/>
    </row>
    <row r="31" spans="1:6" ht="15.6">
      <c r="A31" s="4"/>
      <c r="B31" s="5" t="s">
        <v>104</v>
      </c>
      <c r="C31" s="5">
        <v>0.1</v>
      </c>
      <c r="D31" s="21"/>
      <c r="E31" s="1"/>
      <c r="F31" s="1"/>
    </row>
    <row r="32" spans="1:6" ht="15.6">
      <c r="A32" s="9"/>
      <c r="B32" s="6" t="s">
        <v>8</v>
      </c>
      <c r="C32" s="6">
        <v>0.1</v>
      </c>
      <c r="D32" s="22"/>
      <c r="E32" s="3"/>
      <c r="F32" s="3"/>
    </row>
    <row r="33" spans="1:6" ht="15.6">
      <c r="A33" s="4"/>
      <c r="B33" s="5" t="s">
        <v>11</v>
      </c>
      <c r="C33" s="5">
        <v>0.1</v>
      </c>
      <c r="D33" s="21"/>
      <c r="E33" s="1"/>
      <c r="F33" s="1"/>
    </row>
    <row r="34" spans="1:6" ht="15.6">
      <c r="A34" s="9"/>
      <c r="B34" s="6" t="s">
        <v>12</v>
      </c>
      <c r="C34" s="6">
        <v>0.1</v>
      </c>
      <c r="D34" s="22"/>
      <c r="E34" s="3"/>
      <c r="F34" s="3"/>
    </row>
    <row r="35" spans="1:6" ht="15.6">
      <c r="A35" s="4"/>
      <c r="B35" s="5" t="s">
        <v>13</v>
      </c>
      <c r="C35" s="5">
        <v>0.1</v>
      </c>
      <c r="D35" s="21"/>
      <c r="E35" s="1"/>
      <c r="F35" s="1"/>
    </row>
    <row r="36" spans="1:6" ht="15.6">
      <c r="A36" s="29"/>
      <c r="B36" s="33" t="s">
        <v>10</v>
      </c>
      <c r="C36" s="33">
        <v>0.1</v>
      </c>
      <c r="D36" s="36">
        <f>SUM(C16:C36)</f>
        <v>2.1000000000000005</v>
      </c>
      <c r="E36" s="34"/>
      <c r="F36" s="34"/>
    </row>
    <row r="37" spans="1:6" ht="30">
      <c r="A37" s="64"/>
      <c r="B37" s="60" t="s">
        <v>14</v>
      </c>
      <c r="C37" s="65">
        <v>5</v>
      </c>
      <c r="D37" s="66">
        <v>5</v>
      </c>
      <c r="E37" s="5" t="s">
        <v>15</v>
      </c>
      <c r="F37" s="67"/>
    </row>
    <row r="38" spans="1:6" ht="15">
      <c r="A38" s="64"/>
      <c r="B38" s="60"/>
      <c r="C38" s="65"/>
      <c r="D38" s="66"/>
      <c r="E38" s="5" t="s">
        <v>105</v>
      </c>
      <c r="F38" s="67"/>
    </row>
    <row r="39" spans="1:6" ht="69.599999999999994">
      <c r="A39" s="9"/>
      <c r="B39" s="6" t="s">
        <v>16</v>
      </c>
      <c r="C39" s="6">
        <v>0.28999999999999998</v>
      </c>
      <c r="D39" s="22">
        <v>2</v>
      </c>
      <c r="E39" s="3" t="s">
        <v>95</v>
      </c>
      <c r="F39" s="3" t="s">
        <v>96</v>
      </c>
    </row>
    <row r="40" spans="1:6" ht="42">
      <c r="A40" s="4"/>
      <c r="B40" s="5" t="s">
        <v>106</v>
      </c>
      <c r="C40" s="5">
        <v>0.28999999999999998</v>
      </c>
      <c r="D40" s="21"/>
      <c r="E40" s="1" t="s">
        <v>98</v>
      </c>
      <c r="F40" s="1"/>
    </row>
    <row r="41" spans="1:6" ht="55.8">
      <c r="A41" s="9"/>
      <c r="B41" s="6" t="s">
        <v>17</v>
      </c>
      <c r="C41" s="6">
        <v>0.28999999999999998</v>
      </c>
      <c r="D41" s="22"/>
      <c r="E41" s="3" t="s">
        <v>100</v>
      </c>
      <c r="F41" s="3"/>
    </row>
    <row r="42" spans="1:6" ht="30.6">
      <c r="A42" s="4"/>
      <c r="B42" s="5" t="s">
        <v>18</v>
      </c>
      <c r="C42" s="5">
        <v>0.28999999999999998</v>
      </c>
      <c r="D42" s="21"/>
      <c r="E42" s="1"/>
      <c r="F42" s="1"/>
    </row>
    <row r="43" spans="1:6" ht="15.6">
      <c r="A43" s="9"/>
      <c r="B43" s="6" t="s">
        <v>19</v>
      </c>
      <c r="C43" s="6">
        <v>0.28999999999999998</v>
      </c>
      <c r="D43" s="22"/>
      <c r="E43" s="3"/>
      <c r="F43" s="3"/>
    </row>
    <row r="44" spans="1:6" ht="15.6">
      <c r="A44" s="4"/>
      <c r="B44" s="5" t="s">
        <v>107</v>
      </c>
      <c r="C44" s="5">
        <v>0.28999999999999998</v>
      </c>
      <c r="D44" s="21"/>
      <c r="E44" s="1"/>
      <c r="F44" s="1"/>
    </row>
    <row r="45" spans="1:6" ht="15.6">
      <c r="A45" s="4"/>
      <c r="B45" s="60" t="s">
        <v>108</v>
      </c>
      <c r="C45" s="5"/>
      <c r="D45" s="21"/>
      <c r="E45" s="1"/>
      <c r="F45" s="1"/>
    </row>
    <row r="46" spans="1:6" ht="15.6">
      <c r="A46" s="4"/>
      <c r="B46" s="60"/>
      <c r="C46" s="5"/>
      <c r="D46" s="21"/>
      <c r="E46" s="1"/>
      <c r="F46" s="1"/>
    </row>
    <row r="47" spans="1:6" ht="69.599999999999994">
      <c r="A47" s="9"/>
      <c r="B47" s="6" t="s">
        <v>109</v>
      </c>
      <c r="C47" s="6">
        <v>0.44</v>
      </c>
      <c r="D47" s="12">
        <v>4</v>
      </c>
      <c r="E47" s="3" t="s">
        <v>95</v>
      </c>
      <c r="F47" s="3" t="s">
        <v>96</v>
      </c>
    </row>
    <row r="48" spans="1:6" ht="42">
      <c r="A48" s="4"/>
      <c r="B48" s="5" t="s">
        <v>110</v>
      </c>
      <c r="C48" s="5">
        <v>0.44</v>
      </c>
      <c r="D48" s="13"/>
      <c r="E48" s="1" t="s">
        <v>98</v>
      </c>
      <c r="F48" s="1"/>
    </row>
    <row r="49" spans="1:6" ht="55.8">
      <c r="A49" s="9"/>
      <c r="B49" s="6" t="s">
        <v>111</v>
      </c>
      <c r="C49" s="6">
        <v>0.44</v>
      </c>
      <c r="D49" s="14"/>
      <c r="E49" s="3" t="s">
        <v>100</v>
      </c>
      <c r="F49" s="3"/>
    </row>
    <row r="50" spans="1:6" ht="15.6">
      <c r="A50" s="4"/>
      <c r="B50" s="5" t="s">
        <v>21</v>
      </c>
      <c r="C50" s="5">
        <v>0.44</v>
      </c>
      <c r="D50" s="13"/>
      <c r="E50" s="1"/>
      <c r="F50" s="1"/>
    </row>
    <row r="51" spans="1:6" ht="15.6">
      <c r="A51" s="9"/>
      <c r="B51" s="6" t="s">
        <v>20</v>
      </c>
      <c r="C51" s="6">
        <v>0.44</v>
      </c>
      <c r="D51" s="14"/>
      <c r="E51" s="3"/>
      <c r="F51" s="3"/>
    </row>
    <row r="52" spans="1:6" ht="15.6">
      <c r="A52" s="4"/>
      <c r="B52" s="15" t="s">
        <v>112</v>
      </c>
      <c r="C52" s="5">
        <v>0.44</v>
      </c>
      <c r="D52" s="13"/>
      <c r="E52" s="1"/>
      <c r="F52" s="1"/>
    </row>
    <row r="53" spans="1:6" ht="30.6">
      <c r="A53" s="9"/>
      <c r="B53" s="6" t="s">
        <v>113</v>
      </c>
      <c r="C53" s="6">
        <v>0.44</v>
      </c>
      <c r="D53" s="14"/>
      <c r="E53" s="3"/>
      <c r="F53" s="3"/>
    </row>
    <row r="54" spans="1:6" ht="15.6">
      <c r="A54" s="4"/>
      <c r="B54" s="5" t="s">
        <v>114</v>
      </c>
      <c r="C54" s="5">
        <v>0.44</v>
      </c>
      <c r="D54" s="13"/>
      <c r="E54" s="1"/>
      <c r="F54" s="1"/>
    </row>
    <row r="55" spans="1:6" ht="15.6">
      <c r="A55" s="9"/>
      <c r="B55" s="6" t="s">
        <v>115</v>
      </c>
      <c r="C55" s="6">
        <v>0.44</v>
      </c>
      <c r="D55" s="37">
        <f>SUM(C47:C55)</f>
        <v>3.96</v>
      </c>
      <c r="E55" s="3"/>
      <c r="F55" s="3"/>
    </row>
    <row r="56" spans="1:6" ht="30.6">
      <c r="A56" s="4"/>
      <c r="B56" s="16" t="s">
        <v>7</v>
      </c>
      <c r="C56" s="17">
        <v>5</v>
      </c>
      <c r="D56" s="21">
        <v>5</v>
      </c>
      <c r="E56" s="5" t="s">
        <v>15</v>
      </c>
      <c r="F56" s="1"/>
    </row>
    <row r="57" spans="1:6" ht="31.2">
      <c r="A57" s="29"/>
      <c r="B57" s="30" t="s">
        <v>6</v>
      </c>
      <c r="C57" s="31">
        <v>5</v>
      </c>
      <c r="D57" s="32">
        <v>5</v>
      </c>
      <c r="E57" s="33" t="s">
        <v>15</v>
      </c>
      <c r="F57" s="34"/>
    </row>
    <row r="58" spans="1:6" ht="69.599999999999994">
      <c r="A58" s="4" t="s">
        <v>116</v>
      </c>
      <c r="B58" s="5" t="s">
        <v>117</v>
      </c>
      <c r="C58" s="5">
        <v>0.67</v>
      </c>
      <c r="D58" s="21">
        <v>4</v>
      </c>
      <c r="E58" s="1" t="s">
        <v>95</v>
      </c>
      <c r="F58" s="1" t="s">
        <v>96</v>
      </c>
    </row>
    <row r="59" spans="1:6" ht="42">
      <c r="A59" s="9"/>
      <c r="B59" s="6" t="s">
        <v>118</v>
      </c>
      <c r="C59" s="6">
        <v>0.67</v>
      </c>
      <c r="D59" s="22"/>
      <c r="E59" s="3" t="s">
        <v>98</v>
      </c>
      <c r="F59" s="3"/>
    </row>
    <row r="60" spans="1:6" ht="55.8">
      <c r="A60" s="4"/>
      <c r="B60" s="5" t="s">
        <v>119</v>
      </c>
      <c r="C60" s="5">
        <v>0.67</v>
      </c>
      <c r="D60" s="21"/>
      <c r="E60" s="1" t="s">
        <v>100</v>
      </c>
      <c r="F60" s="1"/>
    </row>
    <row r="61" spans="1:6" ht="15.6">
      <c r="A61" s="9"/>
      <c r="B61" s="6" t="s">
        <v>120</v>
      </c>
      <c r="C61" s="6">
        <v>0.67</v>
      </c>
      <c r="D61" s="22"/>
      <c r="E61" s="3"/>
      <c r="F61" s="3"/>
    </row>
    <row r="62" spans="1:6" ht="15.6">
      <c r="A62" s="25"/>
      <c r="B62" s="26" t="s">
        <v>121</v>
      </c>
      <c r="C62" s="26">
        <v>0.67</v>
      </c>
      <c r="D62" s="27">
        <f>SUM(C58:C62)</f>
        <v>3.35</v>
      </c>
      <c r="E62" s="28"/>
      <c r="F62" s="28"/>
    </row>
    <row r="63" spans="1:6" ht="69.599999999999994">
      <c r="A63" s="9" t="s">
        <v>122</v>
      </c>
      <c r="B63" s="6" t="s">
        <v>123</v>
      </c>
      <c r="C63" s="6">
        <v>4</v>
      </c>
      <c r="D63" s="22">
        <v>4</v>
      </c>
      <c r="E63" s="3" t="s">
        <v>95</v>
      </c>
      <c r="F63" s="3" t="s">
        <v>96</v>
      </c>
    </row>
    <row r="64" spans="1:6" ht="42">
      <c r="A64" s="4"/>
      <c r="B64" s="5" t="s">
        <v>124</v>
      </c>
      <c r="C64" s="5">
        <v>5</v>
      </c>
      <c r="D64" s="21">
        <v>5</v>
      </c>
      <c r="E64" s="1" t="s">
        <v>98</v>
      </c>
      <c r="F64" s="1"/>
    </row>
    <row r="65" spans="1:6" ht="55.8">
      <c r="A65" s="9"/>
      <c r="B65" s="6" t="s">
        <v>125</v>
      </c>
      <c r="C65" s="6">
        <v>4</v>
      </c>
      <c r="D65" s="22">
        <v>4</v>
      </c>
      <c r="E65" s="3" t="s">
        <v>100</v>
      </c>
      <c r="F65" s="3"/>
    </row>
    <row r="66" spans="1:6" ht="30.6">
      <c r="A66" s="18"/>
      <c r="B66" s="19" t="s">
        <v>126</v>
      </c>
      <c r="C66" s="19">
        <v>5</v>
      </c>
      <c r="D66" s="23">
        <v>5</v>
      </c>
      <c r="E66" s="20"/>
      <c r="F66" s="20"/>
    </row>
    <row r="67" spans="1:6">
      <c r="C67" s="2">
        <f>AVERAGE(C63:C66)</f>
        <v>4.5</v>
      </c>
      <c r="D67" s="24">
        <f>SUM(D3:D66)</f>
        <v>61.410000000000004</v>
      </c>
    </row>
  </sheetData>
  <mergeCells count="7">
    <mergeCell ref="B45:B46"/>
    <mergeCell ref="A1:F1"/>
    <mergeCell ref="A37:A38"/>
    <mergeCell ref="B37:B38"/>
    <mergeCell ref="C37:C38"/>
    <mergeCell ref="D37:D38"/>
    <mergeCell ref="F37:F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ec6700-4dca-4ada-b7d9-b1aed3f99106" xsi:nil="true"/>
    <lcf76f155ced4ddcb4097134ff3c332f xmlns="81ad0d62-8b58-4e60-9eea-667a6b15c6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2982D661830047A3EBB23F463F4B49" ma:contentTypeVersion="18" ma:contentTypeDescription="Crear nuevo documento." ma:contentTypeScope="" ma:versionID="204025bb3df6f38740aa390295017164">
  <xsd:schema xmlns:xsd="http://www.w3.org/2001/XMLSchema" xmlns:xs="http://www.w3.org/2001/XMLSchema" xmlns:p="http://schemas.microsoft.com/office/2006/metadata/properties" xmlns:ns2="81ad0d62-8b58-4e60-9eea-667a6b15c6d9" xmlns:ns3="abec6700-4dca-4ada-b7d9-b1aed3f99106" targetNamespace="http://schemas.microsoft.com/office/2006/metadata/properties" ma:root="true" ma:fieldsID="6bdbe8a14aaa41a8056ac033069e3802" ns2:_="" ns3:_="">
    <xsd:import namespace="81ad0d62-8b58-4e60-9eea-667a6b15c6d9"/>
    <xsd:import namespace="abec6700-4dca-4ada-b7d9-b1aed3f991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d0d62-8b58-4e60-9eea-667a6b15c6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5fd0c7-5872-4aaf-a547-68550e95a0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c6700-4dca-4ada-b7d9-b1aed3f9910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f7ea098-ad70-4176-95da-b55fc5108f82}" ma:internalName="TaxCatchAll" ma:showField="CatchAllData" ma:web="abec6700-4dca-4ada-b7d9-b1aed3f991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1FA0CC-CB7E-4678-8285-5E5487692B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CA4C62-B959-41A8-9F14-96F78FE094C7}">
  <ds:schemaRefs>
    <ds:schemaRef ds:uri="http://schemas.microsoft.com/office/2006/metadata/properties"/>
    <ds:schemaRef ds:uri="http://schemas.microsoft.com/office/infopath/2007/PartnerControls"/>
    <ds:schemaRef ds:uri="abec6700-4dca-4ada-b7d9-b1aed3f99106"/>
    <ds:schemaRef ds:uri="81ad0d62-8b58-4e60-9eea-667a6b15c6d9"/>
  </ds:schemaRefs>
</ds:datastoreItem>
</file>

<file path=customXml/itemProps3.xml><?xml version="1.0" encoding="utf-8"?>
<ds:datastoreItem xmlns:ds="http://schemas.openxmlformats.org/officeDocument/2006/customXml" ds:itemID="{D756C643-7169-4468-ABC3-6718C2C8C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d0d62-8b58-4e60-9eea-667a6b15c6d9"/>
    <ds:schemaRef ds:uri="abec6700-4dca-4ada-b7d9-b1aed3f991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de objeciones</vt:lpstr>
      <vt:lpstr>SCORING BORRADOR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CAROLINA RIVERA ESCOBAR</dc:creator>
  <cp:keywords/>
  <dc:description/>
  <cp:lastModifiedBy>OSORIO ANDRADES GREGORIO ENRIQUE</cp:lastModifiedBy>
  <cp:revision/>
  <dcterms:created xsi:type="dcterms:W3CDTF">2025-05-19T21:43:28Z</dcterms:created>
  <dcterms:modified xsi:type="dcterms:W3CDTF">2026-05-15T17:15:01Z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0x0101001A2982D661830047A3EBB23F463F4B49</vt:lpwstr>
  </property>
  <property fmtid="{D5CDD505-2E9C-101B-9397-08002B2CF9AE}" pid="3" name="MediaServiceImageTags">
    <vt:lpwstr/>
  </property>
</Properties>
</file>